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4ECD0F27BE375EC/Documents/"/>
    </mc:Choice>
  </mc:AlternateContent>
  <xr:revisionPtr revIDLastSave="0" documentId="8_{7509900F-B6FD-4E3C-A363-CFA1EDFF4B9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Task Board" sheetId="1" r:id="rId1"/>
    <sheet name="Ringkasan" sheetId="2" r:id="rId2"/>
    <sheet name="Tujuan &amp; Syarat Lulus" sheetId="3" r:id="rId3"/>
  </sheets>
  <definedNames>
    <definedName name="_xlnm._FilterDatabase" localSheetId="0" hidden="1">'Task Board'!$A$3:$J$14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3" l="1"/>
  <c r="F21" i="2"/>
  <c r="E21" i="2"/>
  <c r="D21" i="2"/>
  <c r="C21" i="2"/>
  <c r="B21" i="2"/>
  <c r="G21" i="2" s="1"/>
  <c r="G20" i="2"/>
  <c r="F20" i="2"/>
  <c r="E20" i="2"/>
  <c r="D20" i="2"/>
  <c r="C20" i="2"/>
  <c r="B20" i="2"/>
  <c r="F19" i="2"/>
  <c r="E19" i="2"/>
  <c r="D19" i="2"/>
  <c r="C19" i="2"/>
  <c r="B19" i="2"/>
  <c r="G19" i="2" s="1"/>
  <c r="F18" i="2"/>
  <c r="E18" i="2"/>
  <c r="D18" i="2"/>
  <c r="C18" i="2"/>
  <c r="B18" i="2"/>
  <c r="G18" i="2" s="1"/>
  <c r="F17" i="2"/>
  <c r="E17" i="2"/>
  <c r="D17" i="2"/>
  <c r="C17" i="2"/>
  <c r="B17" i="2"/>
  <c r="G17" i="2" s="1"/>
  <c r="F16" i="2"/>
  <c r="E16" i="2"/>
  <c r="D16" i="2"/>
  <c r="C16" i="2"/>
  <c r="B16" i="2"/>
  <c r="G16" i="2" s="1"/>
  <c r="G15" i="2"/>
  <c r="F15" i="2"/>
  <c r="E15" i="2"/>
  <c r="D15" i="2"/>
  <c r="C15" i="2"/>
  <c r="B15" i="2"/>
  <c r="B10" i="2"/>
  <c r="B7" i="2"/>
  <c r="B6" i="2"/>
  <c r="B5" i="2"/>
  <c r="B4" i="2"/>
  <c r="B8" i="2" s="1"/>
  <c r="B9" i="2" s="1"/>
</calcChain>
</file>

<file path=xl/sharedStrings.xml><?xml version="1.0" encoding="utf-8"?>
<sst xmlns="http://schemas.openxmlformats.org/spreadsheetml/2006/main" count="122" uniqueCount="79">
  <si>
    <t>Sprint 1: Requirement &amp; Setup (1 Okt 2026 - 14 Okt 2026)</t>
  </si>
  <si>
    <t>ID</t>
  </si>
  <si>
    <t>Urutan</t>
  </si>
  <si>
    <t>Tugas</t>
  </si>
  <si>
    <t>PIC</t>
  </si>
  <si>
    <t>Mulai</t>
  </si>
  <si>
    <t>Deadline</t>
  </si>
  <si>
    <t>Prioritas</t>
  </si>
  <si>
    <t>Status</t>
  </si>
  <si>
    <t>Catatan</t>
  </si>
  <si>
    <t>S1-01</t>
  </si>
  <si>
    <t>Finalisasi PRD, scope MVP, keputusan teknis (anonimitas timestamp, alur token)</t>
  </si>
  <si>
    <t>Project Manager</t>
  </si>
  <si>
    <t>Tinggi</t>
  </si>
  <si>
    <t>In Progress</t>
  </si>
  <si>
    <t>S1-02</t>
  </si>
  <si>
    <t>User stories, acceptance criteria, use case diagram</t>
  </si>
  <si>
    <t>System Analyst</t>
  </si>
  <si>
    <t>S1-03</t>
  </si>
  <si>
    <t>Skema database (ERD) dan migrasi awal</t>
  </si>
  <si>
    <t>Backend &amp; Security</t>
  </si>
  <si>
    <t>To Do</t>
  </si>
  <si>
    <t>S1-04</t>
  </si>
  <si>
    <t>Repo, Docker-compose, struktur proyek</t>
  </si>
  <si>
    <t>S1-05</t>
  </si>
  <si>
    <t>Kontrak API (OpenAPI) dan format request/response face service</t>
  </si>
  <si>
    <t>S1-06</t>
  </si>
  <si>
    <t>Kesepakatan format input/output face service dengan Backend</t>
  </si>
  <si>
    <t>AI / Computer Vision</t>
  </si>
  <si>
    <t>S1-07</t>
  </si>
  <si>
    <t>Wireframe dan user flow (login, kamera, bilik suara)</t>
  </si>
  <si>
    <t>UI/UX Designer</t>
  </si>
  <si>
    <t>S1-08</t>
  </si>
  <si>
    <t>Riset model wajah (dlib vs InsightFace) dan dataset uji</t>
  </si>
  <si>
    <t>S1-09</t>
  </si>
  <si>
    <t>Setup Next.js + Tailwind dan komponen dasar</t>
  </si>
  <si>
    <t>Frontend Developer</t>
  </si>
  <si>
    <t>Sedang</t>
  </si>
  <si>
    <t>S1-10</t>
  </si>
  <si>
    <t>Test plan awal dan template test case</t>
  </si>
  <si>
    <t>Tester</t>
  </si>
  <si>
    <t>S1-11</t>
  </si>
  <si>
    <t>Sprint planning, board tugas, manajemen risiko awal</t>
  </si>
  <si>
    <t>Ringkasan Progres Sprint 1</t>
  </si>
  <si>
    <t>Jumlah</t>
  </si>
  <si>
    <t>Done</t>
  </si>
  <si>
    <t>Review</t>
  </si>
  <si>
    <t>Total</t>
  </si>
  <si>
    <t>% Selesai</t>
  </si>
  <si>
    <t>Tugas jalur kritis belum Done</t>
  </si>
  <si>
    <t>Beban Tugas per Peran</t>
  </si>
  <si>
    <t>Peran</t>
  </si>
  <si>
    <t>Tujuan dan Syarat Lulus Sprint 1</t>
  </si>
  <si>
    <t>Tujuan sprint</t>
  </si>
  <si>
    <t>Semua orang punya pegangan yang sama sebelum menulis kode.</t>
  </si>
  <si>
    <t>Periode</t>
  </si>
  <si>
    <t>1 Okt 2026 - 14 Okt 2026</t>
  </si>
  <si>
    <t>Sprint planning</t>
  </si>
  <si>
    <t>1 Okt 2026</t>
  </si>
  <si>
    <t>Sprint review &amp; retrospective</t>
  </si>
  <si>
    <t>14 Okt 2026</t>
  </si>
  <si>
    <t>Syarat lulus sprint (Definition of Done)</t>
  </si>
  <si>
    <t>Kriteria</t>
  </si>
  <si>
    <t>Tercapai?</t>
  </si>
  <si>
    <t>PRD final dan scope MVP terkunci</t>
  </si>
  <si>
    <t>Belum</t>
  </si>
  <si>
    <t>Skema database disetujui</t>
  </si>
  <si>
    <t>OpenAPI (kontrak API) tersedia</t>
  </si>
  <si>
    <t>Format request/response face service disepakati</t>
  </si>
  <si>
    <t>Wireframe layar utama selesai</t>
  </si>
  <si>
    <t>Repo dan Docker-compose bisa dijalankan semua anggota</t>
  </si>
  <si>
    <t>Kriteria tercapai</t>
  </si>
  <si>
    <t>Keputusan / hasil yang harus dicatat</t>
  </si>
  <si>
    <t>Anonimitas timestamp (voted_at vs casted_at) dan alur token diputuskan</t>
  </si>
  <si>
    <t>Consent biometrik dimasukkan ke alur registrasi</t>
  </si>
  <si>
    <t>Catatan retrospective</t>
  </si>
  <si>
    <t>Yang berjalan baik:</t>
  </si>
  <si>
    <t>Yang perlu diperbaiki:</t>
  </si>
  <si>
    <t>Aksi untuk sprint berikutnya: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</si>
</sst>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8" x14ac:knownFonts="1">
    <font>
      <sz val="11"/>
      <color theme="1"/>
      <name val="Calibri"/>
      <family val="2"/>
      <charset val="1"/>
    </font>
    <font>
      <b/>
      <sz val="13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4"/>
      <color rgb="FF1F3864"/>
      <name val="Arial"/>
      <charset val="1"/>
    </font>
    <font>
      <b/>
      <sz val="10"/>
      <name val="Arial"/>
      <charset val="1"/>
    </font>
    <font>
      <b/>
      <sz val="12"/>
      <color rgb="FF1F3864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7" fillId="0" borderId="0" xfId="0" applyFont="1"/>
    <xf numFmtId="9" fontId="4" fillId="0" borderId="1" xfId="0" applyNumberFormat="1" applyFont="1" applyBorder="1" applyAlignment="1">
      <alignment horizontal="center"/>
    </xf>
    <xf numFmtId="0" fontId="6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7">
    <dxf>
      <fill>
        <patternFill>
          <bgColor rgb="FFC6EFCE"/>
        </patternFill>
      </fill>
    </dxf>
    <dxf>
      <font>
        <b/>
        <color rgb="FFC00000"/>
        <name val="Arial"/>
        <charset val="1"/>
      </font>
    </dxf>
    <dxf>
      <fill>
        <patternFill>
          <bgColor rgb="FFE7E6E6"/>
        </patternFill>
      </fill>
    </dxf>
    <dxf>
      <fill>
        <patternFill>
          <bgColor rgb="FFBDD7E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b/>
        <color rgb="FFC00000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Normal="100" workbookViewId="0">
      <pane ySplit="3" topLeftCell="A4" activePane="bottomLeft" state="frozen"/>
      <selection pane="bottomLeft" activeCell="D1" sqref="D1"/>
    </sheetView>
  </sheetViews>
  <sheetFormatPr defaultColWidth="8.6328125" defaultRowHeight="14.5" x14ac:dyDescent="0.35"/>
  <cols>
    <col min="1" max="1" width="9" customWidth="1"/>
    <col min="2" max="2" width="8" customWidth="1"/>
    <col min="3" max="3" width="62" customWidth="1"/>
    <col min="4" max="4" width="22" customWidth="1"/>
    <col min="5" max="6" width="13" customWidth="1"/>
    <col min="7" max="7" width="11" customWidth="1"/>
    <col min="8" max="8" width="13" customWidth="1"/>
    <col min="9" max="9" width="11" customWidth="1"/>
    <col min="10" max="10" width="28" customWidth="1"/>
  </cols>
  <sheetData>
    <row r="1" spans="1:10" ht="16.5" x14ac:dyDescent="0.35">
      <c r="A1" s="1" t="s">
        <v>0</v>
      </c>
    </row>
    <row r="2" spans="1:10" x14ac:dyDescent="0.35">
      <c r="A2" s="2"/>
    </row>
    <row r="3" spans="1:10" ht="27.75" customHeight="1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/>
      <c r="J3" s="3" t="s">
        <v>9</v>
      </c>
    </row>
    <row r="4" spans="1:10" ht="25" x14ac:dyDescent="0.35">
      <c r="A4" s="4" t="s">
        <v>10</v>
      </c>
      <c r="B4" s="4">
        <v>1</v>
      </c>
      <c r="C4" s="5" t="s">
        <v>11</v>
      </c>
      <c r="D4" s="6" t="s">
        <v>12</v>
      </c>
      <c r="E4" s="7">
        <v>46297</v>
      </c>
      <c r="F4" s="7">
        <v>46300</v>
      </c>
      <c r="G4" s="4" t="s">
        <v>13</v>
      </c>
      <c r="H4" s="4" t="s">
        <v>14</v>
      </c>
      <c r="I4" s="4"/>
      <c r="J4" s="5"/>
    </row>
    <row r="5" spans="1:10" x14ac:dyDescent="0.35">
      <c r="A5" s="4" t="s">
        <v>15</v>
      </c>
      <c r="B5" s="4">
        <v>2</v>
      </c>
      <c r="C5" s="5" t="s">
        <v>16</v>
      </c>
      <c r="D5" s="6" t="s">
        <v>17</v>
      </c>
      <c r="E5" s="7">
        <v>46297</v>
      </c>
      <c r="F5" s="7">
        <v>46302</v>
      </c>
      <c r="G5" s="4" t="s">
        <v>13</v>
      </c>
      <c r="H5" s="4" t="s">
        <v>14</v>
      </c>
      <c r="I5" s="4"/>
      <c r="J5" s="5"/>
    </row>
    <row r="6" spans="1:10" x14ac:dyDescent="0.35">
      <c r="A6" s="4" t="s">
        <v>18</v>
      </c>
      <c r="B6" s="4">
        <v>3</v>
      </c>
      <c r="C6" s="5" t="s">
        <v>19</v>
      </c>
      <c r="D6" s="6" t="s">
        <v>20</v>
      </c>
      <c r="E6" s="7">
        <v>46298</v>
      </c>
      <c r="F6" s="7">
        <v>46303</v>
      </c>
      <c r="G6" s="4" t="s">
        <v>13</v>
      </c>
      <c r="H6" s="4" t="s">
        <v>21</v>
      </c>
      <c r="I6" s="4"/>
      <c r="J6" s="5"/>
    </row>
    <row r="7" spans="1:10" x14ac:dyDescent="0.35">
      <c r="A7" s="4" t="s">
        <v>22</v>
      </c>
      <c r="B7" s="4">
        <v>4</v>
      </c>
      <c r="C7" s="5" t="s">
        <v>23</v>
      </c>
      <c r="D7" s="6" t="s">
        <v>20</v>
      </c>
      <c r="E7" s="7">
        <v>46298</v>
      </c>
      <c r="F7" s="7">
        <v>46304</v>
      </c>
      <c r="G7" s="4" t="s">
        <v>13</v>
      </c>
      <c r="H7" s="4" t="s">
        <v>21</v>
      </c>
      <c r="I7" s="4"/>
      <c r="J7" s="5"/>
    </row>
    <row r="8" spans="1:10" x14ac:dyDescent="0.35">
      <c r="A8" s="4" t="s">
        <v>24</v>
      </c>
      <c r="B8" s="4">
        <v>5</v>
      </c>
      <c r="C8" s="5" t="s">
        <v>25</v>
      </c>
      <c r="D8" s="6" t="s">
        <v>20</v>
      </c>
      <c r="E8" s="7">
        <v>46301</v>
      </c>
      <c r="F8" s="7">
        <v>46305</v>
      </c>
      <c r="G8" s="4" t="s">
        <v>13</v>
      </c>
      <c r="H8" s="4" t="s">
        <v>21</v>
      </c>
      <c r="I8" s="4"/>
      <c r="J8" s="5"/>
    </row>
    <row r="9" spans="1:10" x14ac:dyDescent="0.35">
      <c r="A9" s="4" t="s">
        <v>26</v>
      </c>
      <c r="B9" s="4">
        <v>6</v>
      </c>
      <c r="C9" s="5" t="s">
        <v>27</v>
      </c>
      <c r="D9" s="6" t="s">
        <v>28</v>
      </c>
      <c r="E9" s="7">
        <v>46301</v>
      </c>
      <c r="F9" s="7">
        <v>46305</v>
      </c>
      <c r="G9" s="4" t="s">
        <v>13</v>
      </c>
      <c r="H9" s="4" t="s">
        <v>21</v>
      </c>
      <c r="I9" s="4"/>
      <c r="J9" s="5"/>
    </row>
    <row r="10" spans="1:10" x14ac:dyDescent="0.35">
      <c r="A10" s="4" t="s">
        <v>29</v>
      </c>
      <c r="B10" s="4">
        <v>7</v>
      </c>
      <c r="C10" s="5" t="s">
        <v>30</v>
      </c>
      <c r="D10" s="6" t="s">
        <v>31</v>
      </c>
      <c r="E10" s="7">
        <v>46296</v>
      </c>
      <c r="F10" s="7">
        <v>46305</v>
      </c>
      <c r="G10" s="4" t="s">
        <v>13</v>
      </c>
      <c r="H10" s="4" t="s">
        <v>14</v>
      </c>
      <c r="I10" s="4"/>
      <c r="J10" s="5"/>
    </row>
    <row r="11" spans="1:10" x14ac:dyDescent="0.35">
      <c r="A11" s="4" t="s">
        <v>32</v>
      </c>
      <c r="B11" s="4">
        <v>8</v>
      </c>
      <c r="C11" s="5" t="s">
        <v>33</v>
      </c>
      <c r="D11" s="6" t="s">
        <v>28</v>
      </c>
      <c r="E11" s="7">
        <v>46298</v>
      </c>
      <c r="F11" s="7">
        <v>46307</v>
      </c>
      <c r="G11" s="4" t="s">
        <v>13</v>
      </c>
      <c r="H11" s="4" t="s">
        <v>21</v>
      </c>
      <c r="I11" s="4"/>
      <c r="J11" s="5"/>
    </row>
    <row r="12" spans="1:10" x14ac:dyDescent="0.35">
      <c r="A12" s="4" t="s">
        <v>34</v>
      </c>
      <c r="B12" s="4">
        <v>9</v>
      </c>
      <c r="C12" s="5" t="s">
        <v>35</v>
      </c>
      <c r="D12" s="6" t="s">
        <v>36</v>
      </c>
      <c r="E12" s="7">
        <v>46303</v>
      </c>
      <c r="F12" s="7">
        <v>46309</v>
      </c>
      <c r="G12" s="4" t="s">
        <v>37</v>
      </c>
      <c r="H12" s="4" t="s">
        <v>21</v>
      </c>
      <c r="I12" s="4"/>
      <c r="J12" s="5"/>
    </row>
    <row r="13" spans="1:10" x14ac:dyDescent="0.35">
      <c r="A13" s="4" t="s">
        <v>38</v>
      </c>
      <c r="B13" s="4">
        <v>10</v>
      </c>
      <c r="C13" s="5" t="s">
        <v>39</v>
      </c>
      <c r="D13" s="6" t="s">
        <v>40</v>
      </c>
      <c r="E13" s="7">
        <v>46303</v>
      </c>
      <c r="F13" s="7">
        <v>46309</v>
      </c>
      <c r="G13" s="4" t="s">
        <v>37</v>
      </c>
      <c r="H13" s="4" t="s">
        <v>21</v>
      </c>
      <c r="I13" s="4"/>
      <c r="J13" s="5"/>
    </row>
    <row r="14" spans="1:10" x14ac:dyDescent="0.35">
      <c r="A14" s="4" t="s">
        <v>41</v>
      </c>
      <c r="B14" s="4">
        <v>11</v>
      </c>
      <c r="C14" s="5" t="s">
        <v>42</v>
      </c>
      <c r="D14" s="6" t="s">
        <v>12</v>
      </c>
      <c r="E14" s="7">
        <v>46297</v>
      </c>
      <c r="F14" s="7">
        <v>46309</v>
      </c>
      <c r="G14" s="4" t="s">
        <v>37</v>
      </c>
      <c r="H14" s="4" t="s">
        <v>14</v>
      </c>
      <c r="I14" s="4"/>
      <c r="J14" s="5"/>
    </row>
  </sheetData>
  <autoFilter ref="A3:J14" xr:uid="{00000000-0009-0000-0000-000000000000}"/>
  <conditionalFormatting sqref="G4:G40">
    <cfRule type="cellIs" dxfId="6" priority="6" operator="equal">
      <formula>"Tinggi"</formula>
    </cfRule>
  </conditionalFormatting>
  <conditionalFormatting sqref="H4:H40">
    <cfRule type="cellIs" dxfId="5" priority="2" operator="equal">
      <formula>"Done"</formula>
    </cfRule>
    <cfRule type="cellIs" dxfId="4" priority="3" operator="equal">
      <formula>"In Progress"</formula>
    </cfRule>
    <cfRule type="cellIs" dxfId="3" priority="4" operator="equal">
      <formula>"Review"</formula>
    </cfRule>
    <cfRule type="cellIs" dxfId="2" priority="5" operator="equal">
      <formula>"To Do"</formula>
    </cfRule>
  </conditionalFormatting>
  <conditionalFormatting sqref="I4:I40">
    <cfRule type="cellIs" dxfId="1" priority="7" operator="equal">
      <formula>"Ya"</formula>
    </cfRule>
  </conditionalFormatting>
  <dataValidations count="4">
    <dataValidation type="list" allowBlank="1" sqref="D4:D40" xr:uid="{00000000-0002-0000-0000-000000000000}">
      <formula1>"Project Manager,System Analyst,Tester,UI/UX Designer,Frontend Developer,Backend &amp; Security,AI / Computer Vision"</formula1>
      <formula2>0</formula2>
    </dataValidation>
    <dataValidation type="list" allowBlank="1" sqref="G4:G40" xr:uid="{00000000-0002-0000-0000-000001000000}">
      <formula1>"Tinggi,Sedang,Rendah"</formula1>
      <formula2>0</formula2>
    </dataValidation>
    <dataValidation type="list" allowBlank="1" sqref="H4:H40" xr:uid="{00000000-0002-0000-0000-000002000000}">
      <formula1>"To Do,In Progress,Review,Done"</formula1>
      <formula2>0</formula2>
    </dataValidation>
    <dataValidation type="list" allowBlank="1" sqref="I4:I40" xr:uid="{00000000-0002-0000-0000-000003000000}">
      <formula1>"Ya,Tidak"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zoomScaleNormal="100" workbookViewId="0"/>
  </sheetViews>
  <sheetFormatPr defaultColWidth="8.6328125" defaultRowHeight="14.5" x14ac:dyDescent="0.35"/>
  <cols>
    <col min="1" max="1" width="32" customWidth="1"/>
    <col min="2" max="3" width="10" customWidth="1"/>
    <col min="4" max="4" width="13" customWidth="1"/>
    <col min="5" max="6" width="10" customWidth="1"/>
    <col min="7" max="7" width="12" customWidth="1"/>
  </cols>
  <sheetData>
    <row r="1" spans="1:7" ht="18" x14ac:dyDescent="0.4">
      <c r="A1" s="8" t="s">
        <v>43</v>
      </c>
    </row>
    <row r="3" spans="1:7" x14ac:dyDescent="0.35">
      <c r="A3" s="3" t="s">
        <v>8</v>
      </c>
      <c r="B3" s="3" t="s">
        <v>44</v>
      </c>
    </row>
    <row r="4" spans="1:7" x14ac:dyDescent="0.35">
      <c r="A4" s="9" t="s">
        <v>45</v>
      </c>
      <c r="B4" s="10">
        <f>COUNTIF('Task Board'!H4:H40,A4)</f>
        <v>0</v>
      </c>
    </row>
    <row r="5" spans="1:7" x14ac:dyDescent="0.35">
      <c r="A5" s="9" t="s">
        <v>46</v>
      </c>
      <c r="B5" s="10">
        <f>COUNTIF('Task Board'!H4:H40,A5)</f>
        <v>0</v>
      </c>
    </row>
    <row r="6" spans="1:7" x14ac:dyDescent="0.35">
      <c r="A6" s="9" t="s">
        <v>14</v>
      </c>
      <c r="B6" s="10">
        <f>COUNTIF('Task Board'!H4:H40,A6)</f>
        <v>4</v>
      </c>
    </row>
    <row r="7" spans="1:7" x14ac:dyDescent="0.35">
      <c r="A7" s="9" t="s">
        <v>21</v>
      </c>
      <c r="B7" s="10">
        <f>COUNTIF('Task Board'!H4:H40,A7)</f>
        <v>7</v>
      </c>
    </row>
    <row r="8" spans="1:7" x14ac:dyDescent="0.35">
      <c r="A8" s="11" t="s">
        <v>47</v>
      </c>
      <c r="B8" s="12">
        <f>SUM(B4:B7)</f>
        <v>11</v>
      </c>
    </row>
    <row r="9" spans="1:7" x14ac:dyDescent="0.35">
      <c r="A9" s="11" t="s">
        <v>48</v>
      </c>
      <c r="B9" s="13">
        <f>IF(B8=0,0,B4/B8)</f>
        <v>0</v>
      </c>
    </row>
    <row r="10" spans="1:7" x14ac:dyDescent="0.35">
      <c r="A10" s="9" t="s">
        <v>49</v>
      </c>
      <c r="B10" s="10">
        <f>COUNTIFS('Task Board'!I4:I40,"Ya",'Task Board'!H4:H40,"&lt;&gt;Done")</f>
        <v>0</v>
      </c>
    </row>
    <row r="13" spans="1:7" ht="15.5" x14ac:dyDescent="0.35">
      <c r="A13" s="14" t="s">
        <v>50</v>
      </c>
    </row>
    <row r="14" spans="1:7" x14ac:dyDescent="0.35">
      <c r="A14" s="3" t="s">
        <v>51</v>
      </c>
      <c r="B14" s="3" t="s">
        <v>47</v>
      </c>
      <c r="C14" s="3" t="s">
        <v>45</v>
      </c>
      <c r="D14" s="3" t="s">
        <v>14</v>
      </c>
      <c r="E14" s="3" t="s">
        <v>21</v>
      </c>
      <c r="F14" s="3" t="s">
        <v>46</v>
      </c>
      <c r="G14" s="3" t="s">
        <v>48</v>
      </c>
    </row>
    <row r="15" spans="1:7" x14ac:dyDescent="0.35">
      <c r="A15" s="9" t="s">
        <v>12</v>
      </c>
      <c r="B15" s="10">
        <f>COUNTIF('Task Board'!D4:D40,A15)</f>
        <v>2</v>
      </c>
      <c r="C15" s="10">
        <f>COUNTIFS('Task Board'!D4:D40,$A15,'Task Board'!H4:H40,"Done")</f>
        <v>0</v>
      </c>
      <c r="D15" s="10">
        <f>COUNTIFS('Task Board'!D4:D40,$A15,'Task Board'!H4:H40,"In Progress")</f>
        <v>2</v>
      </c>
      <c r="E15" s="10">
        <f>COUNTIFS('Task Board'!D4:D40,$A15,'Task Board'!H4:H40,"To Do")</f>
        <v>0</v>
      </c>
      <c r="F15" s="10">
        <f>COUNTIFS('Task Board'!D4:D40,$A15,'Task Board'!H4:H40,"Review")</f>
        <v>0</v>
      </c>
      <c r="G15" s="15">
        <f t="shared" ref="G15:G21" si="0">IF(B15=0,0,C15/B15)</f>
        <v>0</v>
      </c>
    </row>
    <row r="16" spans="1:7" x14ac:dyDescent="0.35">
      <c r="A16" s="9" t="s">
        <v>17</v>
      </c>
      <c r="B16" s="10">
        <f>COUNTIF('Task Board'!D4:D40,A16)</f>
        <v>1</v>
      </c>
      <c r="C16" s="10">
        <f>COUNTIFS('Task Board'!D4:D40,$A16,'Task Board'!H4:H40,"Done")</f>
        <v>0</v>
      </c>
      <c r="D16" s="10">
        <f>COUNTIFS('Task Board'!D4:D40,$A16,'Task Board'!H4:H40,"In Progress")</f>
        <v>1</v>
      </c>
      <c r="E16" s="10">
        <f>COUNTIFS('Task Board'!D4:D40,$A16,'Task Board'!H4:H40,"To Do")</f>
        <v>0</v>
      </c>
      <c r="F16" s="10">
        <f>COUNTIFS('Task Board'!D4:D40,$A16,'Task Board'!H4:H40,"Review")</f>
        <v>0</v>
      </c>
      <c r="G16" s="15">
        <f t="shared" si="0"/>
        <v>0</v>
      </c>
    </row>
    <row r="17" spans="1:7" x14ac:dyDescent="0.35">
      <c r="A17" s="9" t="s">
        <v>40</v>
      </c>
      <c r="B17" s="10">
        <f>COUNTIF('Task Board'!D4:D40,A17)</f>
        <v>1</v>
      </c>
      <c r="C17" s="10">
        <f>COUNTIFS('Task Board'!D4:D40,$A17,'Task Board'!H4:H40,"Done")</f>
        <v>0</v>
      </c>
      <c r="D17" s="10">
        <f>COUNTIFS('Task Board'!D4:D40,$A17,'Task Board'!H4:H40,"In Progress")</f>
        <v>0</v>
      </c>
      <c r="E17" s="10">
        <f>COUNTIFS('Task Board'!D4:D40,$A17,'Task Board'!H4:H40,"To Do")</f>
        <v>1</v>
      </c>
      <c r="F17" s="10">
        <f>COUNTIFS('Task Board'!D4:D40,$A17,'Task Board'!H4:H40,"Review")</f>
        <v>0</v>
      </c>
      <c r="G17" s="15">
        <f t="shared" si="0"/>
        <v>0</v>
      </c>
    </row>
    <row r="18" spans="1:7" x14ac:dyDescent="0.35">
      <c r="A18" s="9" t="s">
        <v>31</v>
      </c>
      <c r="B18" s="10">
        <f>COUNTIF('Task Board'!D4:D40,A18)</f>
        <v>1</v>
      </c>
      <c r="C18" s="10">
        <f>COUNTIFS('Task Board'!D4:D40,$A18,'Task Board'!H4:H40,"Done")</f>
        <v>0</v>
      </c>
      <c r="D18" s="10">
        <f>COUNTIFS('Task Board'!D4:D40,$A18,'Task Board'!H4:H40,"In Progress")</f>
        <v>1</v>
      </c>
      <c r="E18" s="10">
        <f>COUNTIFS('Task Board'!D4:D40,$A18,'Task Board'!H4:H40,"To Do")</f>
        <v>0</v>
      </c>
      <c r="F18" s="10">
        <f>COUNTIFS('Task Board'!D4:D40,$A18,'Task Board'!H4:H40,"Review")</f>
        <v>0</v>
      </c>
      <c r="G18" s="15">
        <f t="shared" si="0"/>
        <v>0</v>
      </c>
    </row>
    <row r="19" spans="1:7" x14ac:dyDescent="0.35">
      <c r="A19" s="9" t="s">
        <v>36</v>
      </c>
      <c r="B19" s="10">
        <f>COUNTIF('Task Board'!D4:D40,A19)</f>
        <v>1</v>
      </c>
      <c r="C19" s="10">
        <f>COUNTIFS('Task Board'!D4:D40,$A19,'Task Board'!H4:H40,"Done")</f>
        <v>0</v>
      </c>
      <c r="D19" s="10">
        <f>COUNTIFS('Task Board'!D4:D40,$A19,'Task Board'!H4:H40,"In Progress")</f>
        <v>0</v>
      </c>
      <c r="E19" s="10">
        <f>COUNTIFS('Task Board'!D4:D40,$A19,'Task Board'!H4:H40,"To Do")</f>
        <v>1</v>
      </c>
      <c r="F19" s="10">
        <f>COUNTIFS('Task Board'!D4:D40,$A19,'Task Board'!H4:H40,"Review")</f>
        <v>0</v>
      </c>
      <c r="G19" s="15">
        <f t="shared" si="0"/>
        <v>0</v>
      </c>
    </row>
    <row r="20" spans="1:7" x14ac:dyDescent="0.35">
      <c r="A20" s="9" t="s">
        <v>20</v>
      </c>
      <c r="B20" s="10">
        <f>COUNTIF('Task Board'!D4:D40,A20)</f>
        <v>3</v>
      </c>
      <c r="C20" s="10">
        <f>COUNTIFS('Task Board'!D4:D40,$A20,'Task Board'!H4:H40,"Done")</f>
        <v>0</v>
      </c>
      <c r="D20" s="10">
        <f>COUNTIFS('Task Board'!D4:D40,$A20,'Task Board'!H4:H40,"In Progress")</f>
        <v>0</v>
      </c>
      <c r="E20" s="10">
        <f>COUNTIFS('Task Board'!D4:D40,$A20,'Task Board'!H4:H40,"To Do")</f>
        <v>3</v>
      </c>
      <c r="F20" s="10">
        <f>COUNTIFS('Task Board'!D4:D40,$A20,'Task Board'!H4:H40,"Review")</f>
        <v>0</v>
      </c>
      <c r="G20" s="15">
        <f t="shared" si="0"/>
        <v>0</v>
      </c>
    </row>
    <row r="21" spans="1:7" x14ac:dyDescent="0.35">
      <c r="A21" s="9" t="s">
        <v>28</v>
      </c>
      <c r="B21" s="10">
        <f>COUNTIF('Task Board'!D4:D40,A21)</f>
        <v>2</v>
      </c>
      <c r="C21" s="10">
        <f>COUNTIFS('Task Board'!D4:D40,$A21,'Task Board'!H4:H40,"Done")</f>
        <v>0</v>
      </c>
      <c r="D21" s="10">
        <f>COUNTIFS('Task Board'!D4:D40,$A21,'Task Board'!H4:H40,"In Progress")</f>
        <v>0</v>
      </c>
      <c r="E21" s="10">
        <f>COUNTIFS('Task Board'!D4:D40,$A21,'Task Board'!H4:H40,"To Do")</f>
        <v>2</v>
      </c>
      <c r="F21" s="10">
        <f>COUNTIFS('Task Board'!D4:D40,$A21,'Task Board'!H4:H40,"Review")</f>
        <v>0</v>
      </c>
      <c r="G21" s="15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zoomScaleNormal="100" workbookViewId="0"/>
  </sheetViews>
  <sheetFormatPr defaultColWidth="8.6328125" defaultRowHeight="14.5" x14ac:dyDescent="0.35"/>
  <cols>
    <col min="1" max="1" width="62" customWidth="1"/>
    <col min="2" max="2" width="40" customWidth="1"/>
  </cols>
  <sheetData>
    <row r="1" spans="1:2" ht="18" x14ac:dyDescent="0.4">
      <c r="A1" s="8" t="s">
        <v>52</v>
      </c>
    </row>
    <row r="3" spans="1:2" ht="26" x14ac:dyDescent="0.35">
      <c r="A3" s="16" t="s">
        <v>53</v>
      </c>
      <c r="B3" s="17" t="s">
        <v>54</v>
      </c>
    </row>
    <row r="4" spans="1:2" x14ac:dyDescent="0.35">
      <c r="A4" s="16" t="s">
        <v>55</v>
      </c>
      <c r="B4" s="18" t="s">
        <v>56</v>
      </c>
    </row>
    <row r="5" spans="1:2" x14ac:dyDescent="0.35">
      <c r="A5" s="16" t="s">
        <v>57</v>
      </c>
      <c r="B5" s="18" t="s">
        <v>58</v>
      </c>
    </row>
    <row r="6" spans="1:2" x14ac:dyDescent="0.35">
      <c r="A6" s="16" t="s">
        <v>59</v>
      </c>
      <c r="B6" s="18" t="s">
        <v>60</v>
      </c>
    </row>
    <row r="8" spans="1:2" ht="15.5" x14ac:dyDescent="0.35">
      <c r="A8" s="14" t="s">
        <v>61</v>
      </c>
    </row>
    <row r="9" spans="1:2" x14ac:dyDescent="0.35">
      <c r="A9" s="3" t="s">
        <v>62</v>
      </c>
      <c r="B9" s="3" t="s">
        <v>63</v>
      </c>
    </row>
    <row r="10" spans="1:2" x14ac:dyDescent="0.35">
      <c r="A10" s="5" t="s">
        <v>64</v>
      </c>
      <c r="B10" s="19" t="s">
        <v>65</v>
      </c>
    </row>
    <row r="11" spans="1:2" x14ac:dyDescent="0.35">
      <c r="A11" s="5" t="s">
        <v>66</v>
      </c>
      <c r="B11" s="19" t="s">
        <v>65</v>
      </c>
    </row>
    <row r="12" spans="1:2" x14ac:dyDescent="0.35">
      <c r="A12" s="5" t="s">
        <v>67</v>
      </c>
      <c r="B12" s="19" t="s">
        <v>65</v>
      </c>
    </row>
    <row r="13" spans="1:2" x14ac:dyDescent="0.35">
      <c r="A13" s="5" t="s">
        <v>68</v>
      </c>
      <c r="B13" s="19" t="s">
        <v>65</v>
      </c>
    </row>
    <row r="14" spans="1:2" x14ac:dyDescent="0.35">
      <c r="A14" s="5" t="s">
        <v>69</v>
      </c>
      <c r="B14" s="19" t="s">
        <v>65</v>
      </c>
    </row>
    <row r="15" spans="1:2" x14ac:dyDescent="0.35">
      <c r="A15" s="5" t="s">
        <v>70</v>
      </c>
      <c r="B15" s="19" t="s">
        <v>65</v>
      </c>
    </row>
    <row r="16" spans="1:2" x14ac:dyDescent="0.35">
      <c r="A16" s="16" t="s">
        <v>71</v>
      </c>
      <c r="B16" s="20" t="str">
        <f>COUNTIF(B10:B15,"Ya")&amp;" / "&amp;COUNTA(A10:A15)</f>
        <v>0 / 6</v>
      </c>
    </row>
    <row r="18" spans="1:2" ht="15.5" x14ac:dyDescent="0.35">
      <c r="A18" s="14" t="s">
        <v>72</v>
      </c>
    </row>
    <row r="19" spans="1:2" x14ac:dyDescent="0.35">
      <c r="A19" s="17" t="s">
        <v>73</v>
      </c>
    </row>
    <row r="20" spans="1:2" x14ac:dyDescent="0.35">
      <c r="A20" s="17" t="s">
        <v>74</v>
      </c>
    </row>
    <row r="22" spans="1:2" ht="15.5" x14ac:dyDescent="0.35">
      <c r="A22" s="14" t="s">
        <v>75</v>
      </c>
    </row>
    <row r="23" spans="1:2" x14ac:dyDescent="0.35">
      <c r="A23" s="16" t="s">
        <v>76</v>
      </c>
      <c r="B23" s="21"/>
    </row>
    <row r="24" spans="1:2" x14ac:dyDescent="0.35">
      <c r="A24" s="16" t="s">
        <v>77</v>
      </c>
      <c r="B24" s="21"/>
    </row>
    <row r="25" spans="1:2" x14ac:dyDescent="0.35">
      <c r="A25" s="16" t="s">
        <v>78</v>
      </c>
      <c r="B25" s="21"/>
    </row>
  </sheetData>
  <conditionalFormatting sqref="B10:B15">
    <cfRule type="cellIs" dxfId="0" priority="2" operator="equal">
      <formula>"Ya"</formula>
    </cfRule>
  </conditionalFormatting>
  <dataValidations count="1">
    <dataValidation type="list" sqref="B10:B15" xr:uid="{00000000-0002-0000-0200-000000000000}">
      <formula1>"Belum,Ya"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Board</vt:lpstr>
      <vt:lpstr>Ringkasan</vt:lpstr>
      <vt:lpstr>Tujuan &amp; Syarat Lulus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modern14_ec7@outlook.com</cp:lastModifiedBy>
  <cp:revision>0</cp:revision>
  <dcterms:created xsi:type="dcterms:W3CDTF">2026-10-02T03:58:17Z</dcterms:created>
  <dcterms:modified xsi:type="dcterms:W3CDTF">2026-10-02T04:13:38Z</dcterms:modified>
  <dc:language>en-US</dc:language>
</cp:coreProperties>
</file>